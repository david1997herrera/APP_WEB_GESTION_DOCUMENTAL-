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8BD5B77-94E3-4E24-8BBC-9C4A4BEFD017}" xr6:coauthVersionLast="47" xr6:coauthVersionMax="47" xr10:uidLastSave="{00000000-0000-0000-0000-000000000000}"/>
  <bookViews>
    <workbookView xWindow="-120" yWindow="-120" windowWidth="20730" windowHeight="11040" xr2:uid="{DE7A8A19-5536-4472-9875-248C8E8A591F}"/>
  </bookViews>
  <sheets>
    <sheet name="Hoja1" sheetId="1" r:id="rId1"/>
  </sheets>
  <definedNames>
    <definedName name="_xlnm.Print_Area" localSheetId="0">Hoja1!$A$1:$Z$43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L25" i="1"/>
  <c r="K25" i="1"/>
  <c r="J25" i="1"/>
</calcChain>
</file>

<file path=xl/sharedStrings.xml><?xml version="1.0" encoding="utf-8"?>
<sst xmlns="http://schemas.openxmlformats.org/spreadsheetml/2006/main" count="31" uniqueCount="14">
  <si>
    <t>NUMERO MEDIDOR</t>
  </si>
  <si>
    <t>NUMERO CUENTA</t>
  </si>
  <si>
    <t>CONSUMO KW</t>
  </si>
  <si>
    <t>VALOR PLANILLA</t>
  </si>
  <si>
    <t>0600027738</t>
  </si>
  <si>
    <t>MES</t>
  </si>
  <si>
    <t>ROSEMIROVICH ROSES CIA. TDA.</t>
  </si>
  <si>
    <t>REGISTRO CONSUMO ENERGIA ELECTRICA</t>
  </si>
  <si>
    <t>0600202097</t>
  </si>
  <si>
    <t>0600177802</t>
  </si>
  <si>
    <t>0600186200</t>
  </si>
  <si>
    <t>VALOR KW</t>
  </si>
  <si>
    <t>GRANJA</t>
  </si>
  <si>
    <t>CONSUMO 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</si>
</sst>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7" fontId="1" fillId="2" borderId="1" xfId="0" applyNumberFormat="1" applyFont="1" applyFill="1" applyBorder="1"/>
    <xf numFmtId="0" fontId="1" fillId="0" borderId="0" xfId="0" applyFon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1" fillId="3" borderId="0" xfId="0" quotePrefix="1" applyFont="1" applyFill="1"/>
    <xf numFmtId="44" fontId="0" fillId="0" borderId="1" xfId="0" applyNumberFormat="1" applyBorder="1"/>
    <xf numFmtId="0" fontId="0" fillId="4" borderId="0" xfId="0" applyFill="1"/>
    <xf numFmtId="0" fontId="1" fillId="4" borderId="1" xfId="0" applyFont="1" applyFill="1" applyBorder="1"/>
    <xf numFmtId="17" fontId="1" fillId="4" borderId="1" xfId="0" applyNumberFormat="1" applyFont="1" applyFill="1" applyBorder="1"/>
    <xf numFmtId="2" fontId="0" fillId="0" borderId="1" xfId="0" applyNumberFormat="1" applyBorder="1"/>
    <xf numFmtId="44" fontId="0" fillId="0" borderId="1" xfId="0" applyNumberFormat="1" applyBorder="1" applyAlignment="1">
      <alignment horizontal="righ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</a:t>
            </a:r>
            <a:r>
              <a:rPr lang="en-US" baseline="0"/>
              <a:t> KWh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49553484243231249"/>
          <c:y val="7.0796460176991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Hoja1!$B$13:$S$13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</c:numCache>
            </c:numRef>
          </c:cat>
          <c:val>
            <c:numRef>
              <c:f>Hoja1!$B$14:$S$14</c:f>
              <c:numCache>
                <c:formatCode>General</c:formatCode>
                <c:ptCount val="18"/>
                <c:pt idx="0">
                  <c:v>749.7</c:v>
                </c:pt>
                <c:pt idx="1">
                  <c:v>890.46</c:v>
                </c:pt>
                <c:pt idx="2">
                  <c:v>938.4</c:v>
                </c:pt>
                <c:pt idx="3">
                  <c:v>1015.92</c:v>
                </c:pt>
                <c:pt idx="4">
                  <c:v>1055.7</c:v>
                </c:pt>
                <c:pt idx="5">
                  <c:v>471.24</c:v>
                </c:pt>
                <c:pt idx="6">
                  <c:v>1048.56</c:v>
                </c:pt>
                <c:pt idx="7">
                  <c:v>819.06</c:v>
                </c:pt>
                <c:pt idx="8">
                  <c:v>805.8</c:v>
                </c:pt>
                <c:pt idx="9">
                  <c:v>793.56</c:v>
                </c:pt>
                <c:pt idx="10">
                  <c:v>909.84</c:v>
                </c:pt>
                <c:pt idx="11">
                  <c:v>841.5</c:v>
                </c:pt>
                <c:pt idx="12">
                  <c:v>890.46</c:v>
                </c:pt>
                <c:pt idx="13" formatCode="0.00">
                  <c:v>771</c:v>
                </c:pt>
                <c:pt idx="14">
                  <c:v>589.55999999999995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2-4F6E-9A8E-8DD528B89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670447"/>
        <c:axId val="1816668047"/>
      </c:barChart>
      <c:dateAx>
        <c:axId val="18166704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16668047"/>
        <c:crosses val="autoZero"/>
        <c:auto val="1"/>
        <c:lblOffset val="100"/>
        <c:baseTimeUnit val="months"/>
      </c:dateAx>
      <c:valAx>
        <c:axId val="18166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1667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CONSUMO</a:t>
            </a:r>
            <a:r>
              <a:rPr lang="es-EC" baseline="0"/>
              <a:t> KWh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Hoja1!$D$36:$S$36</c:f>
              <c:numCache>
                <c:formatCode>mmm\-yy</c:formatCode>
                <c:ptCount val="16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  <c:pt idx="13">
                  <c:v>46113</c:v>
                </c:pt>
                <c:pt idx="14">
                  <c:v>46143</c:v>
                </c:pt>
              </c:numCache>
            </c:numRef>
          </c:cat>
          <c:val>
            <c:numRef>
              <c:f>Hoja1!$D$37:$S$37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30</c:v>
                </c:pt>
                <c:pt idx="4">
                  <c:v>33.4</c:v>
                </c:pt>
                <c:pt idx="5">
                  <c:v>41</c:v>
                </c:pt>
                <c:pt idx="6">
                  <c:v>81</c:v>
                </c:pt>
                <c:pt idx="7">
                  <c:v>53</c:v>
                </c:pt>
                <c:pt idx="8">
                  <c:v>46.2</c:v>
                </c:pt>
                <c:pt idx="9">
                  <c:v>21.3</c:v>
                </c:pt>
                <c:pt idx="10">
                  <c:v>125.8</c:v>
                </c:pt>
                <c:pt idx="11" formatCode="0.0">
                  <c:v>103</c:v>
                </c:pt>
                <c:pt idx="12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6-4421-A55E-D0911C20E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896479"/>
        <c:axId val="916483279"/>
      </c:barChart>
      <c:dateAx>
        <c:axId val="6928964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16483279"/>
        <c:crosses val="autoZero"/>
        <c:auto val="1"/>
        <c:lblOffset val="100"/>
        <c:baseTimeUnit val="months"/>
      </c:dateAx>
      <c:valAx>
        <c:axId val="91648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9289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CONSUMO KWh</a:t>
            </a:r>
          </a:p>
        </c:rich>
      </c:tx>
      <c:layout>
        <c:manualLayout>
          <c:xMode val="edge"/>
          <c:yMode val="edge"/>
          <c:x val="0.39023600174978129"/>
          <c:y val="9.72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Hoja1!$B$24:$S$24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</c:numCache>
            </c:numRef>
          </c:cat>
          <c:val>
            <c:numRef>
              <c:f>Hoja1!$B$25:$S$25</c:f>
              <c:numCache>
                <c:formatCode>0.00</c:formatCode>
                <c:ptCount val="18"/>
                <c:pt idx="0">
                  <c:v>8437.98</c:v>
                </c:pt>
                <c:pt idx="1">
                  <c:v>10532.98</c:v>
                </c:pt>
                <c:pt idx="2">
                  <c:v>7514.06</c:v>
                </c:pt>
                <c:pt idx="3">
                  <c:v>8418.64</c:v>
                </c:pt>
                <c:pt idx="4">
                  <c:v>6997.94</c:v>
                </c:pt>
                <c:pt idx="5">
                  <c:v>7433.9</c:v>
                </c:pt>
                <c:pt idx="6">
                  <c:v>7501</c:v>
                </c:pt>
                <c:pt idx="7">
                  <c:v>6924.92</c:v>
                </c:pt>
                <c:pt idx="8">
                  <c:v>6717</c:v>
                </c:pt>
                <c:pt idx="9">
                  <c:v>7086.7</c:v>
                </c:pt>
                <c:pt idx="10">
                  <c:v>7198.74</c:v>
                </c:pt>
                <c:pt idx="11">
                  <c:v>6547.3</c:v>
                </c:pt>
                <c:pt idx="12">
                  <c:v>6312</c:v>
                </c:pt>
                <c:pt idx="13">
                  <c:v>8258</c:v>
                </c:pt>
                <c:pt idx="14">
                  <c:v>6405.76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F-4AA4-9E66-735054DCC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398271"/>
        <c:axId val="2109398751"/>
      </c:barChart>
      <c:dateAx>
        <c:axId val="210939827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109398751"/>
        <c:crosses val="autoZero"/>
        <c:auto val="1"/>
        <c:lblOffset val="100"/>
        <c:baseTimeUnit val="months"/>
      </c:dateAx>
      <c:valAx>
        <c:axId val="210939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10939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37542</xdr:colOff>
      <xdr:row>11</xdr:row>
      <xdr:rowOff>72839</xdr:rowOff>
    </xdr:from>
    <xdr:to>
      <xdr:col>24</xdr:col>
      <xdr:colOff>67236</xdr:colOff>
      <xdr:row>20</xdr:row>
      <xdr:rowOff>44824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9CD540-154B-2279-8209-EAADC546A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95249</xdr:colOff>
      <xdr:row>32</xdr:row>
      <xdr:rowOff>100853</xdr:rowOff>
    </xdr:from>
    <xdr:to>
      <xdr:col>25</xdr:col>
      <xdr:colOff>123265</xdr:colOff>
      <xdr:row>39</xdr:row>
      <xdr:rowOff>11206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ACACC0-C56D-C65D-E1CD-5DF02AD83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84044</xdr:colOff>
      <xdr:row>20</xdr:row>
      <xdr:rowOff>174812</xdr:rowOff>
    </xdr:from>
    <xdr:to>
      <xdr:col>24</xdr:col>
      <xdr:colOff>100854</xdr:colOff>
      <xdr:row>30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55316B3-AB09-9358-3E02-22B826908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78442</xdr:colOff>
      <xdr:row>0</xdr:row>
      <xdr:rowOff>112059</xdr:rowOff>
    </xdr:from>
    <xdr:to>
      <xdr:col>0</xdr:col>
      <xdr:colOff>1131794</xdr:colOff>
      <xdr:row>9</xdr:row>
      <xdr:rowOff>69118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17AF09A-0D16-46F6-A60B-CEF890628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2" y="112059"/>
          <a:ext cx="1053352" cy="11112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CDC5-930F-4964-BB76-0B2F347CC6CD}">
  <sheetPr>
    <pageSetUpPr fitToPage="1"/>
  </sheetPr>
  <dimension ref="A1:FC87"/>
  <sheetViews>
    <sheetView tabSelected="1" zoomScale="85" zoomScaleNormal="85" workbookViewId="0">
      <pane xSplit="1" ySplit="6" topLeftCell="B10" activePane="bottomRight" state="frozen"/>
      <selection pane="topRight" activeCell="B1" sqref="B1"/>
      <selection pane="bottomLeft" activeCell="A5" sqref="A5"/>
      <selection pane="bottomRight" activeCell="P39" sqref="P39"/>
    </sheetView>
  </sheetViews>
  <sheetFormatPr baseColWidth="10" defaultRowHeight="15" x14ac:dyDescent="0.25"/>
  <cols>
    <col min="1" max="1" width="18.85546875" customWidth="1"/>
    <col min="2" max="2" width="11.28515625" bestFit="1" customWidth="1"/>
    <col min="3" max="3" width="9.7109375" bestFit="1" customWidth="1"/>
    <col min="4" max="4" width="10.28515625" bestFit="1" customWidth="1"/>
    <col min="5" max="6" width="8.42578125" bestFit="1" customWidth="1"/>
    <col min="7" max="7" width="8.7109375" bestFit="1" customWidth="1"/>
    <col min="8" max="8" width="8.42578125" bestFit="1" customWidth="1"/>
    <col min="9" max="9" width="8.7109375" bestFit="1" customWidth="1"/>
    <col min="10" max="12" width="8.42578125" bestFit="1" customWidth="1"/>
    <col min="13" max="14" width="8.42578125" customWidth="1"/>
    <col min="15" max="15" width="10.28515625" bestFit="1" customWidth="1"/>
    <col min="16" max="18" width="8.42578125" customWidth="1"/>
    <col min="19" max="19" width="8.42578125" bestFit="1" customWidth="1"/>
    <col min="20" max="159" width="11.42578125" style="6"/>
  </cols>
  <sheetData>
    <row r="1" spans="1:159" s="6" customFormat="1" ht="30.75" customHeight="1" x14ac:dyDescent="0.3">
      <c r="A1" s="5"/>
      <c r="B1" s="5" t="s">
        <v>6</v>
      </c>
    </row>
    <row r="2" spans="1:159" s="6" customFormat="1" ht="30" customHeight="1" x14ac:dyDescent="0.25">
      <c r="A2" s="7"/>
      <c r="B2" s="7" t="s">
        <v>7</v>
      </c>
      <c r="C2" s="7"/>
    </row>
    <row r="3" spans="1:159" s="6" customFormat="1" ht="30" customHeight="1" x14ac:dyDescent="0.25"/>
    <row r="4" spans="1:159" s="6" customFormat="1" hidden="1" x14ac:dyDescent="0.25">
      <c r="A4" s="8" t="s">
        <v>1</v>
      </c>
      <c r="B4" s="9" t="s">
        <v>4</v>
      </c>
      <c r="D4" s="11" t="s">
        <v>12</v>
      </c>
    </row>
    <row r="5" spans="1:159" s="6" customFormat="1" hidden="1" x14ac:dyDescent="0.25">
      <c r="A5" s="8" t="s">
        <v>0</v>
      </c>
      <c r="B5" s="8">
        <v>110534</v>
      </c>
    </row>
    <row r="6" spans="1:159" hidden="1" x14ac:dyDescent="0.25">
      <c r="A6" s="12" t="s">
        <v>5</v>
      </c>
      <c r="B6" s="13">
        <v>45658</v>
      </c>
      <c r="C6" s="13">
        <v>45689</v>
      </c>
      <c r="D6" s="13">
        <v>45717</v>
      </c>
      <c r="E6" s="13">
        <v>45748</v>
      </c>
      <c r="F6" s="13">
        <v>45778</v>
      </c>
      <c r="G6" s="13">
        <v>45809</v>
      </c>
      <c r="H6" s="13">
        <v>45839</v>
      </c>
      <c r="I6" s="13">
        <v>45870</v>
      </c>
      <c r="J6" s="13">
        <v>45901</v>
      </c>
      <c r="K6" s="13">
        <v>45931</v>
      </c>
      <c r="L6" s="13">
        <v>45962</v>
      </c>
      <c r="M6" s="13"/>
      <c r="N6" s="13"/>
      <c r="O6" s="13"/>
      <c r="P6" s="13"/>
      <c r="Q6" s="13"/>
      <c r="R6" s="13"/>
      <c r="S6" s="13">
        <v>45992</v>
      </c>
    </row>
    <row r="7" spans="1:159" hidden="1" x14ac:dyDescent="0.25">
      <c r="A7" s="12" t="s">
        <v>2</v>
      </c>
      <c r="B7" s="1"/>
      <c r="C7" s="1"/>
      <c r="D7" s="1"/>
      <c r="E7" s="1"/>
      <c r="F7" s="1"/>
      <c r="G7" s="1"/>
      <c r="H7" s="1">
        <v>65</v>
      </c>
      <c r="I7" s="1">
        <v>107</v>
      </c>
      <c r="J7" s="1">
        <v>79</v>
      </c>
      <c r="K7" s="1">
        <v>83</v>
      </c>
      <c r="L7" s="1">
        <v>81</v>
      </c>
      <c r="M7" s="1"/>
      <c r="N7" s="1"/>
      <c r="O7" s="1"/>
      <c r="P7" s="1"/>
      <c r="Q7" s="1"/>
      <c r="R7" s="1"/>
      <c r="S7" s="1"/>
    </row>
    <row r="8" spans="1:159" hidden="1" x14ac:dyDescent="0.25">
      <c r="A8" s="12" t="s">
        <v>11</v>
      </c>
      <c r="B8" s="1"/>
      <c r="C8" s="1"/>
      <c r="D8" s="1"/>
      <c r="E8" s="1"/>
      <c r="F8" s="1"/>
      <c r="G8" s="1"/>
      <c r="H8" s="10">
        <v>5.95</v>
      </c>
      <c r="I8" s="10">
        <v>9.8699999999999992</v>
      </c>
      <c r="J8" s="10">
        <v>7.25</v>
      </c>
      <c r="K8" s="10">
        <v>7.62</v>
      </c>
      <c r="L8" s="10">
        <v>7.43</v>
      </c>
      <c r="M8" s="10"/>
      <c r="N8" s="10"/>
      <c r="O8" s="10"/>
      <c r="P8" s="10"/>
      <c r="Q8" s="10"/>
      <c r="R8" s="10"/>
      <c r="S8" s="1"/>
    </row>
    <row r="9" spans="1:159" hidden="1" x14ac:dyDescent="0.25">
      <c r="A9" s="12" t="s">
        <v>3</v>
      </c>
      <c r="B9" s="10"/>
      <c r="C9" s="10"/>
      <c r="D9" s="10"/>
      <c r="E9" s="10"/>
      <c r="F9" s="10"/>
      <c r="G9" s="10"/>
      <c r="H9" s="10">
        <v>7.5</v>
      </c>
      <c r="I9" s="10">
        <v>34.46</v>
      </c>
      <c r="J9" s="10">
        <v>8.2799999999999994</v>
      </c>
      <c r="K9" s="10">
        <v>8.49</v>
      </c>
      <c r="L9" s="10">
        <v>8.3800000000000008</v>
      </c>
      <c r="M9" s="10"/>
      <c r="N9" s="10"/>
      <c r="O9" s="10"/>
      <c r="P9" s="10"/>
      <c r="Q9" s="10"/>
      <c r="R9" s="10"/>
      <c r="S9" s="10"/>
    </row>
    <row r="10" spans="1:159" s="6" customFormat="1" x14ac:dyDescent="0.25"/>
    <row r="11" spans="1:159" s="6" customFormat="1" x14ac:dyDescent="0.25">
      <c r="A11" s="8" t="s">
        <v>1</v>
      </c>
      <c r="B11" s="9" t="s">
        <v>8</v>
      </c>
    </row>
    <row r="12" spans="1:159" s="6" customFormat="1" x14ac:dyDescent="0.25">
      <c r="A12" s="8" t="s">
        <v>0</v>
      </c>
      <c r="B12" s="8">
        <v>568713</v>
      </c>
    </row>
    <row r="13" spans="1:159" s="4" customFormat="1" x14ac:dyDescent="0.25">
      <c r="A13" s="2" t="s">
        <v>5</v>
      </c>
      <c r="B13" s="3">
        <v>45658</v>
      </c>
      <c r="C13" s="3">
        <v>45689</v>
      </c>
      <c r="D13" s="3">
        <v>45717</v>
      </c>
      <c r="E13" s="3">
        <v>45748</v>
      </c>
      <c r="F13" s="3">
        <v>45778</v>
      </c>
      <c r="G13" s="3">
        <v>45809</v>
      </c>
      <c r="H13" s="3">
        <v>45839</v>
      </c>
      <c r="I13" s="3">
        <v>45870</v>
      </c>
      <c r="J13" s="3">
        <v>45901</v>
      </c>
      <c r="K13" s="3">
        <v>45931</v>
      </c>
      <c r="L13" s="3">
        <v>45962</v>
      </c>
      <c r="M13" s="3">
        <v>45992</v>
      </c>
      <c r="N13" s="3">
        <v>46023</v>
      </c>
      <c r="O13" s="3">
        <v>46054</v>
      </c>
      <c r="P13" s="3">
        <v>46082</v>
      </c>
      <c r="Q13" s="3">
        <v>46113</v>
      </c>
      <c r="R13" s="3">
        <v>46143</v>
      </c>
      <c r="S13" s="3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</row>
    <row r="14" spans="1:159" x14ac:dyDescent="0.25">
      <c r="A14" s="2" t="s">
        <v>13</v>
      </c>
      <c r="B14" s="1">
        <v>749.7</v>
      </c>
      <c r="C14" s="1">
        <v>890.46</v>
      </c>
      <c r="D14" s="1">
        <v>938.4</v>
      </c>
      <c r="E14" s="1">
        <v>1015.92</v>
      </c>
      <c r="F14" s="1">
        <v>1055.7</v>
      </c>
      <c r="G14" s="1">
        <v>471.24</v>
      </c>
      <c r="H14" s="1">
        <v>1048.56</v>
      </c>
      <c r="I14" s="1">
        <v>819.06</v>
      </c>
      <c r="J14" s="1">
        <v>805.8</v>
      </c>
      <c r="K14" s="1">
        <v>793.56</v>
      </c>
      <c r="L14" s="1">
        <v>909.84</v>
      </c>
      <c r="M14" s="1">
        <v>841.5</v>
      </c>
      <c r="N14" s="1">
        <v>890.46</v>
      </c>
      <c r="O14" s="14">
        <v>771</v>
      </c>
      <c r="P14" s="1">
        <v>589.55999999999995</v>
      </c>
      <c r="Q14" s="1"/>
      <c r="R14" s="1"/>
      <c r="S14" s="1"/>
    </row>
    <row r="15" spans="1:159" x14ac:dyDescent="0.25">
      <c r="A15" s="2" t="s">
        <v>11</v>
      </c>
      <c r="B15" s="10">
        <v>58.93</v>
      </c>
      <c r="C15" s="10">
        <v>70.61</v>
      </c>
      <c r="D15" s="10">
        <v>74.59</v>
      </c>
      <c r="E15" s="10">
        <v>81.02</v>
      </c>
      <c r="F15" s="10">
        <v>84.32</v>
      </c>
      <c r="G15" s="10">
        <v>35.81</v>
      </c>
      <c r="H15" s="10">
        <v>83.73</v>
      </c>
      <c r="I15" s="10">
        <v>64.680000000000007</v>
      </c>
      <c r="J15" s="10">
        <v>63.58</v>
      </c>
      <c r="K15" s="10">
        <v>62.57</v>
      </c>
      <c r="L15" s="10">
        <v>72.22</v>
      </c>
      <c r="M15" s="10">
        <v>66.540000000000006</v>
      </c>
      <c r="N15" s="10">
        <v>70.61</v>
      </c>
      <c r="O15" s="10">
        <v>61.9</v>
      </c>
      <c r="P15" s="10">
        <v>45.63</v>
      </c>
      <c r="Q15" s="10"/>
      <c r="R15" s="10"/>
      <c r="S15" s="10"/>
    </row>
    <row r="16" spans="1:159" x14ac:dyDescent="0.25">
      <c r="A16" s="2" t="s">
        <v>3</v>
      </c>
      <c r="B16" s="10">
        <v>141.44</v>
      </c>
      <c r="C16" s="10">
        <v>86.68</v>
      </c>
      <c r="D16" s="10">
        <v>91.2</v>
      </c>
      <c r="E16" s="10">
        <v>190.12</v>
      </c>
      <c r="F16" s="10">
        <v>103.1</v>
      </c>
      <c r="G16" s="10">
        <v>44.66</v>
      </c>
      <c r="H16" s="10">
        <v>102.21</v>
      </c>
      <c r="I16" s="10">
        <v>79.31</v>
      </c>
      <c r="J16" s="10">
        <v>77.989999999999995</v>
      </c>
      <c r="K16" s="10">
        <v>76.78</v>
      </c>
      <c r="L16" s="10">
        <v>88.36</v>
      </c>
      <c r="M16" s="10">
        <v>81.540000000000006</v>
      </c>
      <c r="N16" s="10">
        <v>46.46</v>
      </c>
      <c r="O16" s="10">
        <v>76.06</v>
      </c>
      <c r="P16" s="10">
        <v>36.840000000000003</v>
      </c>
      <c r="Q16" s="10"/>
      <c r="R16" s="10"/>
      <c r="S16" s="10"/>
    </row>
    <row r="17" spans="1:159" s="6" customFormat="1" x14ac:dyDescent="0.25"/>
    <row r="18" spans="1:159" s="6" customFormat="1" x14ac:dyDescent="0.25"/>
    <row r="19" spans="1:159" s="6" customFormat="1" x14ac:dyDescent="0.25"/>
    <row r="20" spans="1:159" s="6" customFormat="1" x14ac:dyDescent="0.25"/>
    <row r="21" spans="1:159" s="6" customFormat="1" x14ac:dyDescent="0.25"/>
    <row r="22" spans="1:159" s="8" customFormat="1" x14ac:dyDescent="0.25">
      <c r="A22" s="8" t="s">
        <v>1</v>
      </c>
      <c r="B22" s="9" t="s">
        <v>9</v>
      </c>
    </row>
    <row r="23" spans="1:159" s="8" customFormat="1" x14ac:dyDescent="0.25">
      <c r="A23" s="8" t="s">
        <v>0</v>
      </c>
      <c r="B23" s="8">
        <v>22449048</v>
      </c>
    </row>
    <row r="24" spans="1:159" s="4" customFormat="1" x14ac:dyDescent="0.25">
      <c r="A24" s="2" t="s">
        <v>5</v>
      </c>
      <c r="B24" s="3">
        <v>45658</v>
      </c>
      <c r="C24" s="3">
        <v>45689</v>
      </c>
      <c r="D24" s="3">
        <v>45717</v>
      </c>
      <c r="E24" s="3">
        <v>45748</v>
      </c>
      <c r="F24" s="3">
        <v>45778</v>
      </c>
      <c r="G24" s="3">
        <v>45809</v>
      </c>
      <c r="H24" s="3">
        <v>45839</v>
      </c>
      <c r="I24" s="3">
        <v>45870</v>
      </c>
      <c r="J24" s="3">
        <v>45901</v>
      </c>
      <c r="K24" s="3">
        <v>45931</v>
      </c>
      <c r="L24" s="3">
        <v>45962</v>
      </c>
      <c r="M24" s="3">
        <v>45992</v>
      </c>
      <c r="N24" s="3">
        <v>46023</v>
      </c>
      <c r="O24" s="3">
        <v>46054</v>
      </c>
      <c r="P24" s="3">
        <v>46082</v>
      </c>
      <c r="Q24" s="3">
        <v>46113</v>
      </c>
      <c r="R24" s="3">
        <v>46143</v>
      </c>
      <c r="S24" s="3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</row>
    <row r="25" spans="1:159" x14ac:dyDescent="0.25">
      <c r="A25" s="2" t="s">
        <v>13</v>
      </c>
      <c r="B25" s="14">
        <v>8437.98</v>
      </c>
      <c r="C25" s="14">
        <v>10532.98</v>
      </c>
      <c r="D25" s="14">
        <v>7514.06</v>
      </c>
      <c r="E25" s="14">
        <v>8418.64</v>
      </c>
      <c r="F25" s="14">
        <v>6997.94</v>
      </c>
      <c r="G25" s="14">
        <v>7433.9</v>
      </c>
      <c r="H25" s="14">
        <v>7501</v>
      </c>
      <c r="I25" s="14">
        <v>6924.92</v>
      </c>
      <c r="J25" s="14">
        <f>3311.94+405.96+2188.92+162.18+648</f>
        <v>6717</v>
      </c>
      <c r="K25" s="14">
        <f>3510.84+426.36+2267.46+155.04+727</f>
        <v>7086.7</v>
      </c>
      <c r="L25" s="14">
        <f>3479.22+506.94+2387.82+140.76+684</f>
        <v>7198.74</v>
      </c>
      <c r="M25" s="14">
        <f>2918.22+374.32+2424.24+179.52+651</f>
        <v>6547.3</v>
      </c>
      <c r="N25" s="14">
        <v>6312</v>
      </c>
      <c r="O25" s="14">
        <v>8258</v>
      </c>
      <c r="P25" s="14">
        <v>6405.76</v>
      </c>
      <c r="Q25" s="14"/>
      <c r="R25" s="14"/>
      <c r="S25" s="14"/>
    </row>
    <row r="26" spans="1:159" x14ac:dyDescent="0.25">
      <c r="A26" s="2" t="s">
        <v>11</v>
      </c>
      <c r="B26" s="10">
        <v>450.81</v>
      </c>
      <c r="C26" s="10">
        <v>563.4</v>
      </c>
      <c r="D26" s="10">
        <v>479.33</v>
      </c>
      <c r="E26" s="10">
        <v>544.29999999999995</v>
      </c>
      <c r="F26" s="10">
        <v>530.64</v>
      </c>
      <c r="G26" s="10">
        <v>562.62</v>
      </c>
      <c r="H26" s="10">
        <v>570.19000000000005</v>
      </c>
      <c r="I26" s="10">
        <v>705.34</v>
      </c>
      <c r="J26" s="10">
        <v>681.87</v>
      </c>
      <c r="K26" s="10">
        <v>715</v>
      </c>
      <c r="L26" s="10">
        <v>732.26</v>
      </c>
      <c r="M26" s="10">
        <v>656.96</v>
      </c>
      <c r="N26" s="15">
        <v>639.15</v>
      </c>
      <c r="O26" s="10">
        <v>808.06</v>
      </c>
      <c r="P26" s="10">
        <v>656.04</v>
      </c>
      <c r="Q26" s="10"/>
      <c r="R26" s="10"/>
      <c r="S26" s="10"/>
    </row>
    <row r="27" spans="1:159" x14ac:dyDescent="0.25">
      <c r="A27" s="2" t="s">
        <v>3</v>
      </c>
      <c r="B27" s="10">
        <v>1256.77</v>
      </c>
      <c r="C27" s="10">
        <v>859.13</v>
      </c>
      <c r="D27" s="10">
        <v>1531.29</v>
      </c>
      <c r="E27" s="10">
        <v>740.05</v>
      </c>
      <c r="F27" s="10">
        <v>725.26</v>
      </c>
      <c r="G27" s="10">
        <v>761.75</v>
      </c>
      <c r="H27" s="10">
        <v>777.97</v>
      </c>
      <c r="I27" s="10">
        <v>903.57</v>
      </c>
      <c r="J27" s="10">
        <v>833.08</v>
      </c>
      <c r="K27" s="10">
        <v>907.87</v>
      </c>
      <c r="L27" s="10">
        <v>936.21</v>
      </c>
      <c r="M27" s="10">
        <v>850.05</v>
      </c>
      <c r="N27" s="10">
        <v>808.08</v>
      </c>
      <c r="O27" s="10">
        <v>1000.1</v>
      </c>
      <c r="P27" s="10">
        <v>830.11</v>
      </c>
      <c r="Q27" s="10"/>
      <c r="R27" s="10"/>
      <c r="S27" s="10"/>
    </row>
    <row r="28" spans="1:159" s="6" customFormat="1" x14ac:dyDescent="0.25"/>
    <row r="29" spans="1:159" s="6" customFormat="1" x14ac:dyDescent="0.25"/>
    <row r="30" spans="1:159" s="6" customFormat="1" x14ac:dyDescent="0.25"/>
    <row r="31" spans="1:159" s="6" customFormat="1" x14ac:dyDescent="0.25"/>
    <row r="32" spans="1:159" s="6" customFormat="1" x14ac:dyDescent="0.25"/>
    <row r="33" spans="1:159" s="6" customFormat="1" x14ac:dyDescent="0.25"/>
    <row r="34" spans="1:159" s="8" customFormat="1" x14ac:dyDescent="0.25">
      <c r="A34" s="8" t="s">
        <v>1</v>
      </c>
      <c r="B34" s="9" t="s">
        <v>10</v>
      </c>
    </row>
    <row r="35" spans="1:159" s="8" customFormat="1" x14ac:dyDescent="0.25">
      <c r="A35" s="8" t="s">
        <v>0</v>
      </c>
      <c r="B35" s="8">
        <v>1820630</v>
      </c>
    </row>
    <row r="36" spans="1:159" s="4" customFormat="1" x14ac:dyDescent="0.25">
      <c r="A36" s="2" t="s">
        <v>5</v>
      </c>
      <c r="B36" s="3">
        <v>45658</v>
      </c>
      <c r="C36" s="3">
        <v>45689</v>
      </c>
      <c r="D36" s="3">
        <v>45717</v>
      </c>
      <c r="E36" s="3">
        <v>45748</v>
      </c>
      <c r="F36" s="3">
        <v>45778</v>
      </c>
      <c r="G36" s="3">
        <v>45809</v>
      </c>
      <c r="H36" s="3">
        <v>45839</v>
      </c>
      <c r="I36" s="3">
        <v>45870</v>
      </c>
      <c r="J36" s="3">
        <v>45901</v>
      </c>
      <c r="K36" s="3">
        <v>45931</v>
      </c>
      <c r="L36" s="3">
        <v>45962</v>
      </c>
      <c r="M36" s="3">
        <v>45992</v>
      </c>
      <c r="N36" s="3">
        <v>46023</v>
      </c>
      <c r="O36" s="3">
        <v>46054</v>
      </c>
      <c r="P36" s="3">
        <v>46082</v>
      </c>
      <c r="Q36" s="3">
        <v>46113</v>
      </c>
      <c r="R36" s="3">
        <v>46143</v>
      </c>
      <c r="S36" s="3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</row>
    <row r="37" spans="1:159" x14ac:dyDescent="0.25">
      <c r="A37" s="2" t="s">
        <v>13</v>
      </c>
      <c r="B37" s="1">
        <v>65</v>
      </c>
      <c r="C37" s="1">
        <v>31</v>
      </c>
      <c r="D37" s="1">
        <v>0</v>
      </c>
      <c r="E37" s="1">
        <v>0</v>
      </c>
      <c r="F37" s="1">
        <v>11</v>
      </c>
      <c r="G37" s="1">
        <v>30</v>
      </c>
      <c r="H37" s="1">
        <v>33.4</v>
      </c>
      <c r="I37" s="1">
        <v>41</v>
      </c>
      <c r="J37" s="1">
        <v>81</v>
      </c>
      <c r="K37" s="1">
        <v>53</v>
      </c>
      <c r="L37" s="1">
        <v>46.2</v>
      </c>
      <c r="M37" s="1">
        <v>21.3</v>
      </c>
      <c r="N37" s="1">
        <v>125.8</v>
      </c>
      <c r="O37" s="16">
        <v>103</v>
      </c>
      <c r="P37" s="1">
        <v>139</v>
      </c>
      <c r="Q37" s="1"/>
      <c r="R37" s="1"/>
      <c r="S37" s="1"/>
    </row>
    <row r="38" spans="1:159" x14ac:dyDescent="0.25">
      <c r="A38" s="2" t="s">
        <v>2</v>
      </c>
      <c r="B38" s="1">
        <v>4.68</v>
      </c>
      <c r="C38" s="1">
        <v>2.2000000000000002</v>
      </c>
      <c r="D38" s="1"/>
      <c r="E38" s="1"/>
      <c r="F38" s="1">
        <v>0.79</v>
      </c>
      <c r="G38" s="1">
        <v>2.16</v>
      </c>
      <c r="H38" s="1">
        <v>2.4</v>
      </c>
      <c r="I38" s="1">
        <v>2.95</v>
      </c>
      <c r="J38" s="10">
        <v>5.83</v>
      </c>
      <c r="K38" s="10">
        <v>3.62</v>
      </c>
      <c r="L38" s="10">
        <v>3.33</v>
      </c>
      <c r="M38" s="10">
        <v>1.53</v>
      </c>
      <c r="N38" s="10">
        <v>9.06</v>
      </c>
      <c r="O38" s="10">
        <v>7.42</v>
      </c>
      <c r="P38" s="10">
        <v>10.01</v>
      </c>
      <c r="Q38" s="10"/>
      <c r="R38" s="10"/>
      <c r="S38" s="10"/>
    </row>
    <row r="39" spans="1:159" x14ac:dyDescent="0.25">
      <c r="A39" s="2" t="s">
        <v>3</v>
      </c>
      <c r="B39" s="1">
        <v>15.06</v>
      </c>
      <c r="C39" s="1">
        <v>4.42</v>
      </c>
      <c r="D39" s="1">
        <v>6.11</v>
      </c>
      <c r="E39" s="1">
        <v>1.69</v>
      </c>
      <c r="F39" s="1">
        <v>2.64</v>
      </c>
      <c r="G39" s="1">
        <v>4.28</v>
      </c>
      <c r="H39" s="1">
        <v>5.0599999999999996</v>
      </c>
      <c r="I39" s="1">
        <v>5.23</v>
      </c>
      <c r="J39" s="10">
        <v>8.69</v>
      </c>
      <c r="K39" s="10">
        <v>6.29</v>
      </c>
      <c r="L39" s="10">
        <v>5.69</v>
      </c>
      <c r="M39" s="10">
        <v>1.69</v>
      </c>
      <c r="N39" s="10">
        <v>12.56</v>
      </c>
      <c r="O39" s="10">
        <v>10.6</v>
      </c>
      <c r="P39" s="10">
        <v>13.7</v>
      </c>
      <c r="Q39" s="10"/>
      <c r="R39" s="10"/>
      <c r="S39" s="10"/>
    </row>
    <row r="40" spans="1:159" s="6" customFormat="1" x14ac:dyDescent="0.25"/>
    <row r="41" spans="1:159" s="6" customFormat="1" x14ac:dyDescent="0.25"/>
    <row r="42" spans="1:159" s="6" customFormat="1" x14ac:dyDescent="0.25"/>
    <row r="43" spans="1:159" s="6" customFormat="1" x14ac:dyDescent="0.25"/>
    <row r="44" spans="1:159" s="6" customFormat="1" x14ac:dyDescent="0.25"/>
    <row r="45" spans="1:159" s="6" customFormat="1" x14ac:dyDescent="0.25"/>
    <row r="46" spans="1:159" s="6" customFormat="1" x14ac:dyDescent="0.25"/>
    <row r="47" spans="1:159" s="6" customFormat="1" x14ac:dyDescent="0.25"/>
    <row r="48" spans="1:159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</sheetData>
  <pageMargins left="0.31496062992125984" right="0.11811023622047245" top="0.74803149606299213" bottom="0.74803149606299213" header="0.31496062992125984" footer="0.31496062992125984"/>
  <pageSetup paperSize="9" scale="7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COBRANZA ROSEMIROVICH</dc:creator>
  <cp:lastModifiedBy>Plinio Molina</cp:lastModifiedBy>
  <cp:lastPrinted>2025-12-18T01:49:24Z</cp:lastPrinted>
  <dcterms:created xsi:type="dcterms:W3CDTF">2025-11-13T14:15:47Z</dcterms:created>
  <dcterms:modified xsi:type="dcterms:W3CDTF">2026-04-07T15:43:20Z</dcterms:modified>
</cp:coreProperties>
</file>